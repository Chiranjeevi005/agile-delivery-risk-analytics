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hiranjeevi PK\Desktop\Projects\Business Analyst\agile-delivery-risk-analytics\excel-model\"/>
    </mc:Choice>
  </mc:AlternateContent>
  <xr:revisionPtr revIDLastSave="0" documentId="13_ncr:1_{6DD653B4-DBE9-4CF6-9BE2-F7BF6A8ECD5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Raw_Data" sheetId="1" r:id="rId1"/>
    <sheet name="Sprint_Summary" sheetId="2" r:id="rId2"/>
    <sheet name="Metrics_Calculation" sheetId="3" r:id="rId3"/>
    <sheet name="Dashboard_Base" sheetId="4" r:id="rId4"/>
    <sheet name="Risk_Model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" i="3" l="1"/>
  <c r="F3" i="2"/>
  <c r="E3" i="2"/>
  <c r="G3" i="2" s="1"/>
  <c r="D3" i="2"/>
  <c r="C3" i="2"/>
  <c r="E3" i="3" s="1"/>
  <c r="F3" i="3" s="1"/>
  <c r="D6" i="4" s="1"/>
  <c r="B3" i="2"/>
  <c r="C3" i="3" s="1"/>
  <c r="C6" i="4" s="1"/>
  <c r="F2" i="2"/>
  <c r="E2" i="2"/>
  <c r="G2" i="2" s="1"/>
  <c r="G10" i="4" s="1"/>
  <c r="D2" i="2"/>
  <c r="C2" i="2"/>
  <c r="E2" i="3" s="1"/>
  <c r="B2" i="2"/>
  <c r="C2" i="3" s="1"/>
  <c r="C5" i="4" s="1"/>
  <c r="G5" i="4" l="1"/>
  <c r="G6" i="4"/>
  <c r="G9" i="4"/>
  <c r="B2" i="3"/>
  <c r="B3" i="3"/>
  <c r="D3" i="3" l="1"/>
  <c r="B6" i="4"/>
  <c r="B5" i="4"/>
  <c r="D2" i="3"/>
  <c r="G7" i="4" l="1"/>
  <c r="F2" i="3"/>
  <c r="D5" i="4" s="1"/>
</calcChain>
</file>

<file path=xl/sharedStrings.xml><?xml version="1.0" encoding="utf-8"?>
<sst xmlns="http://schemas.openxmlformats.org/spreadsheetml/2006/main" count="227" uniqueCount="98">
  <si>
    <t>Issue_ID</t>
  </si>
  <si>
    <t>Created_Date</t>
  </si>
  <si>
    <t>Resolved_Date</t>
  </si>
  <si>
    <t>Assignee</t>
  </si>
  <si>
    <t>Milestone</t>
  </si>
  <si>
    <t>Source</t>
  </si>
  <si>
    <t>Sprint_ID</t>
  </si>
  <si>
    <t>Sprint_Start_Date</t>
  </si>
  <si>
    <t>Sprint_End_Date</t>
  </si>
  <si>
    <t>Completion_Time</t>
  </si>
  <si>
    <t>Standardized_Status</t>
  </si>
  <si>
    <t>Issue_Type</t>
  </si>
  <si>
    <t>Completion_Flag</t>
  </si>
  <si>
    <t>Data_Quality_Flag</t>
  </si>
  <si>
    <t>Planned_Flag</t>
  </si>
  <si>
    <t>Completed_In_Sprint_Flag</t>
  </si>
  <si>
    <t>Carry_Forward_Flag</t>
  </si>
  <si>
    <t>Mid_Sprint_Date</t>
  </si>
  <si>
    <t>Work_Started_Flag</t>
  </si>
  <si>
    <t>36279</t>
  </si>
  <si>
    <t>01-01-2024</t>
  </si>
  <si>
    <t>Unassigned</t>
  </si>
  <si>
    <t>GitHub</t>
  </si>
  <si>
    <t>Sprint_01</t>
  </si>
  <si>
    <t>14-01-2024</t>
  </si>
  <si>
    <t>Done</t>
  </si>
  <si>
    <t>Bug</t>
  </si>
  <si>
    <t>Valid</t>
  </si>
  <si>
    <t>04-01-2024</t>
  </si>
  <si>
    <t>KAFKA-101</t>
  </si>
  <si>
    <t>05-01-2024</t>
  </si>
  <si>
    <t>jdoe</t>
  </si>
  <si>
    <t>3.6.0</t>
  </si>
  <si>
    <t>Apache</t>
  </si>
  <si>
    <t>36281</t>
  </si>
  <si>
    <t>To Do</t>
  </si>
  <si>
    <t>36283</t>
  </si>
  <si>
    <t>Other</t>
  </si>
  <si>
    <t>36284</t>
  </si>
  <si>
    <t>02-01-2024</t>
  </si>
  <si>
    <t>36288</t>
  </si>
  <si>
    <t>KAFKA-102</t>
  </si>
  <si>
    <t>asmith</t>
  </si>
  <si>
    <t>3.7.0</t>
  </si>
  <si>
    <t>Feature</t>
  </si>
  <si>
    <t>36298</t>
  </si>
  <si>
    <t>36302</t>
  </si>
  <si>
    <t>03-01-2024</t>
  </si>
  <si>
    <t>KAFKA-103</t>
  </si>
  <si>
    <t>15-01-2024</t>
  </si>
  <si>
    <t>Tech Debt</t>
  </si>
  <si>
    <t>36315</t>
  </si>
  <si>
    <t>KAFKA-104</t>
  </si>
  <si>
    <t>10-01-2024</t>
  </si>
  <si>
    <t>12-01-2024</t>
  </si>
  <si>
    <t>In Progress</t>
  </si>
  <si>
    <t>KAFKA-105</t>
  </si>
  <si>
    <t>rjones</t>
  </si>
  <si>
    <t>Sprint_02</t>
  </si>
  <si>
    <t>28-01-2024</t>
  </si>
  <si>
    <t>18-01-2024</t>
  </si>
  <si>
    <t>Total_Issues</t>
  </si>
  <si>
    <t>Planned_Work</t>
  </si>
  <si>
    <t>Completed_Work</t>
  </si>
  <si>
    <t>Completed_In_Sprint</t>
  </si>
  <si>
    <t>Spillover</t>
  </si>
  <si>
    <t>Validation_Check</t>
  </si>
  <si>
    <t>Commitment_Reliability</t>
  </si>
  <si>
    <t>Spillover_Rate</t>
  </si>
  <si>
    <t>Risk_Severity</t>
  </si>
  <si>
    <t>Data_Confidence</t>
  </si>
  <si>
    <t>Adjusted_Risk_Label</t>
  </si>
  <si>
    <t>Agile Delivery Risk Analysis — Sprint Predictability Assessment</t>
  </si>
  <si>
    <t>Sprint Performance Table</t>
  </si>
  <si>
    <t>Executive Summary</t>
  </si>
  <si>
    <t>Weighted Avg Commitment Reliability</t>
  </si>
  <si>
    <t>Weighted Avg Spillover Rate</t>
  </si>
  <si>
    <t>High Risk Sprint Count</t>
  </si>
  <si>
    <t>Worst Reliable Sprint</t>
  </si>
  <si>
    <t>Trend (Reliable Data Only)</t>
  </si>
  <si>
    <t>Error Count</t>
  </si>
  <si>
    <t>Only 3 out of 12 planned tasks were delivered within sprint, reflecting a 75% execution gap.</t>
  </si>
  <si>
    <t>Key Analytical Insight</t>
  </si>
  <si>
    <t>Reliable sprint data shows only 25% commitment fulfillment, indicating severe overcommitment and execution inefficiency within sprint cycles.</t>
  </si>
  <si>
    <t>Recommended Business Actions</t>
  </si>
  <si>
    <t>* Reduce sprint commitment volume by ~75% (based on current 25% completion rate)</t>
  </si>
  <si>
    <t>* Limit active work items to align with observed completion capacity (3 of 12 tasks)</t>
  </si>
  <si>
    <t>* Implement mid-sprint checkpoint reviews to prevent late-stage spillovers</t>
  </si>
  <si>
    <t>Actual_Progress_Day3</t>
  </si>
  <si>
    <t>Expected_Progress_Day3</t>
  </si>
  <si>
    <t>Risk_Score</t>
  </si>
  <si>
    <t>Predicted_Risk</t>
  </si>
  <si>
    <t>Adjusted_Risk</t>
  </si>
  <si>
    <t>Actual_Risk</t>
  </si>
  <si>
    <t>Prediction_Accuracy</t>
  </si>
  <si>
    <t>High Risk</t>
  </si>
  <si>
    <t>Uncertain — Low Confidence</t>
  </si>
  <si>
    <t>Correct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</si>
</sst>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name val="Calibri"/>
    </font>
    <font>
      <i/>
      <sz val="11"/>
      <color rgb="FF444444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5">
    <dxf>
      <fill>
        <patternFill patternType="solid">
          <fgColor rgb="FFD9D9D9"/>
          <bgColor rgb="FFD9D9D9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9C0006"/>
          <bgColor rgb="FF9C000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issues" displayName="tbl_issues" ref="A1:Q14">
  <autoFilter ref="A1:Q14" xr:uid="{00000000-0009-0000-0100-000001000000}"/>
  <tableColumns count="17">
    <tableColumn id="1" xr3:uid="{00000000-0010-0000-0000-000001000000}" name="Issue_ID"/>
    <tableColumn id="2" xr3:uid="{00000000-0010-0000-0000-000002000000}" name="Created_Date"/>
    <tableColumn id="3" xr3:uid="{00000000-0010-0000-0000-000003000000}" name="Resolved_Date"/>
    <tableColumn id="4" xr3:uid="{00000000-0010-0000-0000-000004000000}" name="Assignee"/>
    <tableColumn id="5" xr3:uid="{00000000-0010-0000-0000-000005000000}" name="Milestone"/>
    <tableColumn id="6" xr3:uid="{00000000-0010-0000-0000-000006000000}" name="Source"/>
    <tableColumn id="7" xr3:uid="{00000000-0010-0000-0000-000007000000}" name="Sprint_ID"/>
    <tableColumn id="8" xr3:uid="{00000000-0010-0000-0000-000008000000}" name="Sprint_Start_Date"/>
    <tableColumn id="9" xr3:uid="{00000000-0010-0000-0000-000009000000}" name="Sprint_End_Date"/>
    <tableColumn id="10" xr3:uid="{00000000-0010-0000-0000-00000A000000}" name="Completion_Time"/>
    <tableColumn id="11" xr3:uid="{00000000-0010-0000-0000-00000B000000}" name="Standardized_Status"/>
    <tableColumn id="12" xr3:uid="{00000000-0010-0000-0000-00000C000000}" name="Issue_Type"/>
    <tableColumn id="13" xr3:uid="{00000000-0010-0000-0000-00000D000000}" name="Completion_Flag"/>
    <tableColumn id="14" xr3:uid="{00000000-0010-0000-0000-00000E000000}" name="Data_Quality_Flag"/>
    <tableColumn id="15" xr3:uid="{00000000-0010-0000-0000-00000F000000}" name="Planned_Flag"/>
    <tableColumn id="16" xr3:uid="{00000000-0010-0000-0000-000010000000}" name="Completed_In_Sprint_Flag"/>
    <tableColumn id="17" xr3:uid="{00000000-0010-0000-0000-000011000000}" name="Carry_Forward_Flag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"/>
  <sheetViews>
    <sheetView workbookViewId="0">
      <selection activeCell="I20" sqref="I20"/>
    </sheetView>
  </sheetViews>
  <sheetFormatPr defaultRowHeight="14.4" x14ac:dyDescent="0.3"/>
  <cols>
    <col min="1" max="17" width="12.777343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t="s">
        <v>19</v>
      </c>
      <c r="B2" t="s">
        <v>20</v>
      </c>
      <c r="C2" t="s">
        <v>20</v>
      </c>
      <c r="D2" t="s">
        <v>21</v>
      </c>
      <c r="F2" t="s">
        <v>22</v>
      </c>
      <c r="G2" t="s">
        <v>23</v>
      </c>
      <c r="H2" t="s">
        <v>20</v>
      </c>
      <c r="I2" t="s">
        <v>24</v>
      </c>
      <c r="J2">
        <v>7.0000000000000007E-2</v>
      </c>
      <c r="K2" t="s">
        <v>25</v>
      </c>
      <c r="L2" t="s">
        <v>26</v>
      </c>
      <c r="M2">
        <v>1</v>
      </c>
      <c r="N2" t="s">
        <v>27</v>
      </c>
      <c r="O2">
        <v>1</v>
      </c>
      <c r="P2">
        <v>1</v>
      </c>
      <c r="Q2">
        <v>0</v>
      </c>
      <c r="R2" t="s">
        <v>28</v>
      </c>
      <c r="S2">
        <v>1</v>
      </c>
    </row>
    <row r="3" spans="1:19" x14ac:dyDescent="0.3">
      <c r="A3" t="s">
        <v>29</v>
      </c>
      <c r="B3" t="s">
        <v>20</v>
      </c>
      <c r="C3" t="s">
        <v>30</v>
      </c>
      <c r="D3" t="s">
        <v>31</v>
      </c>
      <c r="E3" t="s">
        <v>32</v>
      </c>
      <c r="F3" t="s">
        <v>33</v>
      </c>
      <c r="G3" t="s">
        <v>23</v>
      </c>
      <c r="H3" t="s">
        <v>20</v>
      </c>
      <c r="I3" t="s">
        <v>24</v>
      </c>
      <c r="J3">
        <v>4.21</v>
      </c>
      <c r="K3" t="s">
        <v>25</v>
      </c>
      <c r="L3" t="s">
        <v>26</v>
      </c>
      <c r="M3">
        <v>1</v>
      </c>
      <c r="N3" t="s">
        <v>27</v>
      </c>
      <c r="O3">
        <v>1</v>
      </c>
      <c r="P3">
        <v>1</v>
      </c>
      <c r="Q3">
        <v>0</v>
      </c>
      <c r="R3" t="s">
        <v>28</v>
      </c>
      <c r="S3">
        <v>1</v>
      </c>
    </row>
    <row r="4" spans="1:19" x14ac:dyDescent="0.3">
      <c r="A4" t="s">
        <v>34</v>
      </c>
      <c r="B4" t="s">
        <v>20</v>
      </c>
      <c r="D4" t="s">
        <v>21</v>
      </c>
      <c r="F4" t="s">
        <v>22</v>
      </c>
      <c r="G4" t="s">
        <v>23</v>
      </c>
      <c r="H4" t="s">
        <v>20</v>
      </c>
      <c r="I4" t="s">
        <v>24</v>
      </c>
      <c r="K4" t="s">
        <v>35</v>
      </c>
      <c r="L4" t="s">
        <v>26</v>
      </c>
      <c r="M4">
        <v>0</v>
      </c>
      <c r="N4" t="s">
        <v>27</v>
      </c>
      <c r="O4">
        <v>1</v>
      </c>
      <c r="P4">
        <v>0</v>
      </c>
      <c r="Q4">
        <v>0</v>
      </c>
      <c r="R4" t="s">
        <v>28</v>
      </c>
      <c r="S4">
        <v>1</v>
      </c>
    </row>
    <row r="5" spans="1:19" x14ac:dyDescent="0.3">
      <c r="A5" t="s">
        <v>36</v>
      </c>
      <c r="B5" t="s">
        <v>20</v>
      </c>
      <c r="D5" t="s">
        <v>21</v>
      </c>
      <c r="F5" t="s">
        <v>22</v>
      </c>
      <c r="G5" t="s">
        <v>23</v>
      </c>
      <c r="H5" t="s">
        <v>20</v>
      </c>
      <c r="I5" t="s">
        <v>24</v>
      </c>
      <c r="K5" t="s">
        <v>35</v>
      </c>
      <c r="L5" t="s">
        <v>37</v>
      </c>
      <c r="M5">
        <v>0</v>
      </c>
      <c r="N5" t="s">
        <v>27</v>
      </c>
      <c r="O5">
        <v>1</v>
      </c>
      <c r="P5">
        <v>0</v>
      </c>
      <c r="Q5">
        <v>0</v>
      </c>
      <c r="R5" t="s">
        <v>28</v>
      </c>
      <c r="S5">
        <v>1</v>
      </c>
    </row>
    <row r="6" spans="1:19" x14ac:dyDescent="0.3">
      <c r="A6" t="s">
        <v>38</v>
      </c>
      <c r="B6" t="s">
        <v>39</v>
      </c>
      <c r="D6" t="s">
        <v>21</v>
      </c>
      <c r="F6" t="s">
        <v>22</v>
      </c>
      <c r="G6" t="s">
        <v>23</v>
      </c>
      <c r="H6" t="s">
        <v>20</v>
      </c>
      <c r="I6" t="s">
        <v>24</v>
      </c>
      <c r="K6" t="s">
        <v>35</v>
      </c>
      <c r="L6" t="s">
        <v>37</v>
      </c>
      <c r="M6">
        <v>0</v>
      </c>
      <c r="N6" t="s">
        <v>27</v>
      </c>
      <c r="O6">
        <v>1</v>
      </c>
      <c r="P6">
        <v>0</v>
      </c>
      <c r="Q6">
        <v>0</v>
      </c>
      <c r="R6" t="s">
        <v>28</v>
      </c>
      <c r="S6">
        <v>1</v>
      </c>
    </row>
    <row r="7" spans="1:19" x14ac:dyDescent="0.3">
      <c r="A7" t="s">
        <v>40</v>
      </c>
      <c r="B7" t="s">
        <v>39</v>
      </c>
      <c r="D7" t="s">
        <v>21</v>
      </c>
      <c r="F7" t="s">
        <v>22</v>
      </c>
      <c r="G7" t="s">
        <v>23</v>
      </c>
      <c r="H7" t="s">
        <v>20</v>
      </c>
      <c r="I7" t="s">
        <v>24</v>
      </c>
      <c r="K7" t="s">
        <v>35</v>
      </c>
      <c r="L7" t="s">
        <v>37</v>
      </c>
      <c r="M7">
        <v>0</v>
      </c>
      <c r="N7" t="s">
        <v>27</v>
      </c>
      <c r="O7">
        <v>1</v>
      </c>
      <c r="P7">
        <v>0</v>
      </c>
      <c r="Q7">
        <v>0</v>
      </c>
      <c r="R7" t="s">
        <v>28</v>
      </c>
      <c r="S7">
        <v>1</v>
      </c>
    </row>
    <row r="8" spans="1:19" x14ac:dyDescent="0.3">
      <c r="A8" t="s">
        <v>41</v>
      </c>
      <c r="B8" t="s">
        <v>39</v>
      </c>
      <c r="D8" t="s">
        <v>42</v>
      </c>
      <c r="E8" t="s">
        <v>43</v>
      </c>
      <c r="F8" t="s">
        <v>33</v>
      </c>
      <c r="G8" t="s">
        <v>23</v>
      </c>
      <c r="H8" t="s">
        <v>20</v>
      </c>
      <c r="I8" t="s">
        <v>24</v>
      </c>
      <c r="K8" t="s">
        <v>35</v>
      </c>
      <c r="L8" t="s">
        <v>44</v>
      </c>
      <c r="M8">
        <v>0</v>
      </c>
      <c r="N8" t="s">
        <v>27</v>
      </c>
      <c r="O8">
        <v>1</v>
      </c>
      <c r="P8">
        <v>0</v>
      </c>
      <c r="Q8">
        <v>0</v>
      </c>
      <c r="R8" t="s">
        <v>28</v>
      </c>
      <c r="S8">
        <v>1</v>
      </c>
    </row>
    <row r="9" spans="1:19" x14ac:dyDescent="0.3">
      <c r="A9" t="s">
        <v>45</v>
      </c>
      <c r="B9" t="s">
        <v>39</v>
      </c>
      <c r="D9" t="s">
        <v>21</v>
      </c>
      <c r="F9" t="s">
        <v>22</v>
      </c>
      <c r="G9" t="s">
        <v>23</v>
      </c>
      <c r="H9" t="s">
        <v>20</v>
      </c>
      <c r="I9" t="s">
        <v>24</v>
      </c>
      <c r="K9" t="s">
        <v>35</v>
      </c>
      <c r="L9" t="s">
        <v>37</v>
      </c>
      <c r="M9">
        <v>0</v>
      </c>
      <c r="N9" t="s">
        <v>27</v>
      </c>
      <c r="O9">
        <v>1</v>
      </c>
      <c r="P9">
        <v>0</v>
      </c>
      <c r="Q9">
        <v>0</v>
      </c>
      <c r="R9" t="s">
        <v>28</v>
      </c>
      <c r="S9">
        <v>1</v>
      </c>
    </row>
    <row r="10" spans="1:19" x14ac:dyDescent="0.3">
      <c r="A10" t="s">
        <v>46</v>
      </c>
      <c r="B10" t="s">
        <v>39</v>
      </c>
      <c r="C10" t="s">
        <v>47</v>
      </c>
      <c r="D10" t="s">
        <v>21</v>
      </c>
      <c r="F10" t="s">
        <v>22</v>
      </c>
      <c r="G10" t="s">
        <v>23</v>
      </c>
      <c r="H10" t="s">
        <v>20</v>
      </c>
      <c r="I10" t="s">
        <v>24</v>
      </c>
      <c r="J10">
        <v>0.41</v>
      </c>
      <c r="K10" t="s">
        <v>25</v>
      </c>
      <c r="L10" t="s">
        <v>37</v>
      </c>
      <c r="M10">
        <v>1</v>
      </c>
      <c r="N10" t="s">
        <v>27</v>
      </c>
      <c r="O10">
        <v>1</v>
      </c>
      <c r="P10">
        <v>1</v>
      </c>
      <c r="Q10">
        <v>0</v>
      </c>
      <c r="R10" t="s">
        <v>28</v>
      </c>
      <c r="S10">
        <v>1</v>
      </c>
    </row>
    <row r="11" spans="1:19" x14ac:dyDescent="0.3">
      <c r="A11" t="s">
        <v>48</v>
      </c>
      <c r="B11" t="s">
        <v>47</v>
      </c>
      <c r="C11" t="s">
        <v>49</v>
      </c>
      <c r="D11" t="s">
        <v>31</v>
      </c>
      <c r="E11" t="s">
        <v>32</v>
      </c>
      <c r="F11" t="s">
        <v>33</v>
      </c>
      <c r="G11" t="s">
        <v>23</v>
      </c>
      <c r="H11" t="s">
        <v>20</v>
      </c>
      <c r="I11" t="s">
        <v>24</v>
      </c>
      <c r="J11">
        <v>12.12</v>
      </c>
      <c r="K11" t="s">
        <v>25</v>
      </c>
      <c r="L11" t="s">
        <v>50</v>
      </c>
      <c r="M11">
        <v>1</v>
      </c>
      <c r="N11" t="s">
        <v>27</v>
      </c>
      <c r="O11">
        <v>1</v>
      </c>
      <c r="P11">
        <v>0</v>
      </c>
      <c r="Q11">
        <v>1</v>
      </c>
      <c r="R11" t="s">
        <v>28</v>
      </c>
      <c r="S11">
        <v>1</v>
      </c>
    </row>
    <row r="12" spans="1:19" x14ac:dyDescent="0.3">
      <c r="A12" t="s">
        <v>51</v>
      </c>
      <c r="B12" t="s">
        <v>28</v>
      </c>
      <c r="D12" t="s">
        <v>21</v>
      </c>
      <c r="F12" t="s">
        <v>22</v>
      </c>
      <c r="G12" t="s">
        <v>23</v>
      </c>
      <c r="H12" t="s">
        <v>20</v>
      </c>
      <c r="I12" t="s">
        <v>24</v>
      </c>
      <c r="K12" t="s">
        <v>35</v>
      </c>
      <c r="L12" t="s">
        <v>26</v>
      </c>
      <c r="M12">
        <v>0</v>
      </c>
      <c r="N12" t="s">
        <v>27</v>
      </c>
      <c r="O12">
        <v>1</v>
      </c>
      <c r="P12">
        <v>0</v>
      </c>
      <c r="Q12">
        <v>0</v>
      </c>
      <c r="R12" t="s">
        <v>28</v>
      </c>
      <c r="S12">
        <v>1</v>
      </c>
    </row>
    <row r="13" spans="1:19" x14ac:dyDescent="0.3">
      <c r="A13" t="s">
        <v>52</v>
      </c>
      <c r="B13" t="s">
        <v>53</v>
      </c>
      <c r="C13" t="s">
        <v>54</v>
      </c>
      <c r="D13" t="s">
        <v>42</v>
      </c>
      <c r="E13" t="s">
        <v>32</v>
      </c>
      <c r="F13" t="s">
        <v>33</v>
      </c>
      <c r="G13" t="s">
        <v>23</v>
      </c>
      <c r="H13" t="s">
        <v>20</v>
      </c>
      <c r="I13" t="s">
        <v>24</v>
      </c>
      <c r="J13">
        <v>2.08</v>
      </c>
      <c r="K13" t="s">
        <v>55</v>
      </c>
      <c r="L13" t="s">
        <v>26</v>
      </c>
      <c r="M13">
        <v>0</v>
      </c>
      <c r="N13" t="s">
        <v>27</v>
      </c>
      <c r="O13">
        <v>1</v>
      </c>
      <c r="P13">
        <v>0</v>
      </c>
      <c r="Q13">
        <v>0</v>
      </c>
      <c r="R13" t="s">
        <v>28</v>
      </c>
      <c r="S13">
        <v>0</v>
      </c>
    </row>
    <row r="14" spans="1:19" x14ac:dyDescent="0.3">
      <c r="A14" t="s">
        <v>56</v>
      </c>
      <c r="B14" t="s">
        <v>49</v>
      </c>
      <c r="D14" t="s">
        <v>57</v>
      </c>
      <c r="E14" t="s">
        <v>43</v>
      </c>
      <c r="F14" t="s">
        <v>33</v>
      </c>
      <c r="G14" t="s">
        <v>58</v>
      </c>
      <c r="H14" t="s">
        <v>49</v>
      </c>
      <c r="I14" t="s">
        <v>59</v>
      </c>
      <c r="K14" t="s">
        <v>35</v>
      </c>
      <c r="L14" t="s">
        <v>37</v>
      </c>
      <c r="M14">
        <v>0</v>
      </c>
      <c r="N14" t="s">
        <v>27</v>
      </c>
      <c r="O14">
        <v>1</v>
      </c>
      <c r="P14">
        <v>0</v>
      </c>
      <c r="Q14">
        <v>0</v>
      </c>
      <c r="R14" t="s">
        <v>60</v>
      </c>
      <c r="S14">
        <v>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"/>
  <sheetViews>
    <sheetView workbookViewId="0">
      <selection activeCell="E18" sqref="E18"/>
    </sheetView>
  </sheetViews>
  <sheetFormatPr defaultRowHeight="14.4" x14ac:dyDescent="0.3"/>
  <cols>
    <col min="1" max="1" width="8.77734375" bestFit="1" customWidth="1"/>
    <col min="2" max="2" width="11.21875" bestFit="1" customWidth="1"/>
    <col min="3" max="3" width="13.5546875" bestFit="1" customWidth="1"/>
    <col min="4" max="4" width="15.88671875" bestFit="1" customWidth="1"/>
    <col min="5" max="5" width="19.109375" bestFit="1" customWidth="1"/>
    <col min="6" max="6" width="8.21875" bestFit="1" customWidth="1"/>
    <col min="7" max="7" width="15.77734375" bestFit="1" customWidth="1"/>
  </cols>
  <sheetData>
    <row r="1" spans="1:8" x14ac:dyDescent="0.3">
      <c r="A1" s="4" t="s">
        <v>6</v>
      </c>
      <c r="B1" s="4" t="s">
        <v>61</v>
      </c>
      <c r="C1" s="4" t="s">
        <v>62</v>
      </c>
      <c r="D1" s="4" t="s">
        <v>63</v>
      </c>
      <c r="E1" s="4" t="s">
        <v>64</v>
      </c>
      <c r="F1" s="4" t="s">
        <v>65</v>
      </c>
      <c r="G1" s="4" t="s">
        <v>66</v>
      </c>
      <c r="H1" s="4"/>
    </row>
    <row r="2" spans="1:8" x14ac:dyDescent="0.3">
      <c r="A2" t="s">
        <v>23</v>
      </c>
      <c r="B2">
        <f>COUNTIF(tbl_issues[Sprint_ID], A2)</f>
        <v>12</v>
      </c>
      <c r="C2">
        <f>SUMIFS(tbl_issues[Planned_Flag], tbl_issues[Sprint_ID], A2)</f>
        <v>12</v>
      </c>
      <c r="D2">
        <f>SUMIFS(tbl_issues[Completion_Flag], tbl_issues[Sprint_ID], A2)</f>
        <v>4</v>
      </c>
      <c r="E2">
        <f>SUMIFS(tbl_issues[Completed_In_Sprint_Flag], tbl_issues[Sprint_ID], A2)</f>
        <v>3</v>
      </c>
      <c r="F2">
        <f>SUMIFS(tbl_issues[Carry_Forward_Flag], tbl_issues[Sprint_ID], A2)</f>
        <v>1</v>
      </c>
      <c r="G2" t="str">
        <f>IF(E2&lt;=C2, "OK", "Error")</f>
        <v>OK</v>
      </c>
    </row>
    <row r="3" spans="1:8" x14ac:dyDescent="0.3">
      <c r="A3" t="s">
        <v>58</v>
      </c>
      <c r="B3">
        <f>COUNTIF(tbl_issues[Sprint_ID], A3)</f>
        <v>1</v>
      </c>
      <c r="C3">
        <f>SUMIFS(tbl_issues[Planned_Flag], tbl_issues[Sprint_ID], A3)</f>
        <v>1</v>
      </c>
      <c r="D3">
        <f>SUMIFS(tbl_issues[Completion_Flag], tbl_issues[Sprint_ID], A3)</f>
        <v>0</v>
      </c>
      <c r="E3">
        <f>SUMIFS(tbl_issues[Completed_In_Sprint_Flag], tbl_issues[Sprint_ID], A3)</f>
        <v>0</v>
      </c>
      <c r="F3">
        <f>SUMIFS(tbl_issues[Carry_Forward_Flag], tbl_issues[Sprint_ID], A3)</f>
        <v>0</v>
      </c>
      <c r="G3" t="str">
        <f>IF(E3&lt;=C3, "OK", "Error")</f>
        <v>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4"/>
  <sheetViews>
    <sheetView tabSelected="1" workbookViewId="0">
      <selection activeCell="B5" sqref="B5"/>
    </sheetView>
  </sheetViews>
  <sheetFormatPr defaultRowHeight="14.4" x14ac:dyDescent="0.3"/>
  <cols>
    <col min="1" max="1" width="8.77734375" bestFit="1" customWidth="1"/>
    <col min="2" max="2" width="21.5546875" bestFit="1" customWidth="1"/>
    <col min="3" max="3" width="13.109375" bestFit="1" customWidth="1"/>
    <col min="4" max="4" width="12.109375" bestFit="1" customWidth="1"/>
    <col min="5" max="5" width="15.5546875" bestFit="1" customWidth="1"/>
    <col min="6" max="6" width="25.109375" bestFit="1" customWidth="1"/>
  </cols>
  <sheetData>
    <row r="1" spans="1:7" x14ac:dyDescent="0.3">
      <c r="A1" s="4" t="s">
        <v>6</v>
      </c>
      <c r="B1" s="4" t="s">
        <v>67</v>
      </c>
      <c r="C1" s="4" t="s">
        <v>68</v>
      </c>
      <c r="D1" s="4" t="s">
        <v>69</v>
      </c>
      <c r="E1" s="4" t="s">
        <v>70</v>
      </c>
      <c r="F1" s="4" t="s">
        <v>71</v>
      </c>
      <c r="G1" s="4"/>
    </row>
    <row r="2" spans="1:7" x14ac:dyDescent="0.3">
      <c r="A2" t="s">
        <v>23</v>
      </c>
      <c r="B2">
        <f>ROUND(IF(Sprint_Summary!C2=0, 0, Sprint_Summary!E2/Sprint_Summary!C2), 2)</f>
        <v>0.25</v>
      </c>
      <c r="C2">
        <f>ROUND(IF(Sprint_Summary!B2=0, 0, Sprint_Summary!F2/Sprint_Summary!B2), 2)</f>
        <v>0.08</v>
      </c>
      <c r="D2" t="str">
        <f>IF(B2&lt;0.4, "Critical", IF(B2&lt;0.6, "High", IF(B2&lt;0.8, "Moderate", "Low")))</f>
        <v>Critical</v>
      </c>
      <c r="E2" t="str">
        <f>IF(Sprint_Summary!C2&lt;5, "Low Confidence", "High Confidence")</f>
        <v>High Confidence</v>
      </c>
      <c r="F2" t="str">
        <f>IF(E2="Low Confidence", "Uncertain — Low Confidence", D2 &amp; " — High Confidence")</f>
        <v>Critical — High Confidence</v>
      </c>
    </row>
    <row r="3" spans="1:7" x14ac:dyDescent="0.3">
      <c r="A3" t="s">
        <v>58</v>
      </c>
      <c r="B3">
        <f>ROUND(IF(Sprint_Summary!C3=0, 0, Sprint_Summary!E3/Sprint_Summary!C3), 2)</f>
        <v>0</v>
      </c>
      <c r="C3">
        <f>ROUND(IF(Sprint_Summary!B3=0, 0, Sprint_Summary!F3/Sprint_Summary!B3), 2)</f>
        <v>0</v>
      </c>
      <c r="D3" t="str">
        <f>IF(B3&lt;0.4, "Critical", IF(B3&lt;0.6, "High", IF(B3&lt;0.8, "Moderate", "Low")))</f>
        <v>Critical</v>
      </c>
      <c r="E3" t="str">
        <f>IF(Sprint_Summary!C3&lt;5, "Low Confidence", "High Confidence")</f>
        <v>Low Confidence</v>
      </c>
      <c r="F3" t="str">
        <f>IF(E3="Low Confidence", "Uncertain — Low Confidence", D3 &amp; " — High Confidence")</f>
        <v>Uncertain — Low Confidence</v>
      </c>
    </row>
    <row r="4" spans="1:7" x14ac:dyDescent="0.3">
      <c r="B4">
        <f>AVERAGE(B2:B3)</f>
        <v>0.125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0"/>
  <sheetViews>
    <sheetView workbookViewId="0">
      <selection activeCell="G5" sqref="G5"/>
    </sheetView>
  </sheetViews>
  <sheetFormatPr defaultRowHeight="14.4" x14ac:dyDescent="0.3"/>
  <cols>
    <col min="1" max="1" width="15" customWidth="1"/>
    <col min="2" max="2" width="25" customWidth="1"/>
    <col min="3" max="3" width="18" customWidth="1"/>
    <col min="4" max="4" width="32" customWidth="1"/>
    <col min="6" max="6" width="76.6640625" bestFit="1" customWidth="1"/>
    <col min="7" max="7" width="15" customWidth="1"/>
  </cols>
  <sheetData>
    <row r="1" spans="1:7" ht="21" customHeight="1" x14ac:dyDescent="0.4">
      <c r="A1" s="1" t="s">
        <v>72</v>
      </c>
    </row>
    <row r="3" spans="1:7" x14ac:dyDescent="0.3">
      <c r="A3" s="2" t="s">
        <v>73</v>
      </c>
      <c r="F3" s="2" t="s">
        <v>74</v>
      </c>
    </row>
    <row r="5" spans="1:7" x14ac:dyDescent="0.3">
      <c r="A5" t="s">
        <v>23</v>
      </c>
      <c r="B5">
        <f>ROUND(Metrics_Calculation!B2, 2)</f>
        <v>0.25</v>
      </c>
      <c r="C5">
        <f>ROUND(Metrics_Calculation!C2, 2)</f>
        <v>0.08</v>
      </c>
      <c r="D5" t="str">
        <f>Metrics_Calculation!F2</f>
        <v>Critical — High Confidence</v>
      </c>
      <c r="F5" s="2" t="s">
        <v>75</v>
      </c>
      <c r="G5" s="2">
        <f>ROUND(SUMIFS(Sprint_Summary!E2:E3, Metrics_Calculation!E2:E3, "High Confidence") / MAX(1, SUMIFS(Sprint_Summary!C2:C3, Metrics_Calculation!E2:E3, "High Confidence")), 2)</f>
        <v>0.25</v>
      </c>
    </row>
    <row r="6" spans="1:7" x14ac:dyDescent="0.3">
      <c r="A6" t="s">
        <v>58</v>
      </c>
      <c r="B6">
        <f>ROUND(Metrics_Calculation!B3, 2)</f>
        <v>0</v>
      </c>
      <c r="C6">
        <f>ROUND(Metrics_Calculation!C3, 2)</f>
        <v>0</v>
      </c>
      <c r="D6" t="str">
        <f>Metrics_Calculation!F3</f>
        <v>Uncertain — Low Confidence</v>
      </c>
      <c r="F6" s="2" t="s">
        <v>76</v>
      </c>
      <c r="G6" s="2">
        <f>ROUND(SUMIFS(Sprint_Summary!F2:F3, Metrics_Calculation!E2:E3, "High Confidence") / MAX(1, SUMIFS(Sprint_Summary!B2:B3, Metrics_Calculation!E2:E3, "High Confidence")), 2)</f>
        <v>0.08</v>
      </c>
    </row>
    <row r="7" spans="1:7" x14ac:dyDescent="0.3">
      <c r="F7" t="s">
        <v>77</v>
      </c>
      <c r="G7">
        <f>COUNTIFS(Metrics_Calculation!E2:E3, "High Confidence", Metrics_Calculation!D2:D3, "Critical")</f>
        <v>1</v>
      </c>
    </row>
    <row r="8" spans="1:7" x14ac:dyDescent="0.3">
      <c r="F8" t="s">
        <v>78</v>
      </c>
      <c r="G8" t="s">
        <v>23</v>
      </c>
    </row>
    <row r="9" spans="1:7" x14ac:dyDescent="0.3">
      <c r="F9" t="s">
        <v>79</v>
      </c>
      <c r="G9" t="str">
        <f>IF(COUNTIF(Metrics_Calculation!E2:E3, "High Confidence")&lt;3, "Insufficient Data", "Stable")</f>
        <v>Insufficient Data</v>
      </c>
    </row>
    <row r="10" spans="1:7" x14ac:dyDescent="0.3">
      <c r="F10" t="s">
        <v>80</v>
      </c>
      <c r="G10">
        <f>COUNTIF(Sprint_Summary!G2:G3, "Error")</f>
        <v>0</v>
      </c>
    </row>
    <row r="12" spans="1:7" x14ac:dyDescent="0.3">
      <c r="F12" s="3" t="s">
        <v>81</v>
      </c>
    </row>
    <row r="14" spans="1:7" x14ac:dyDescent="0.3">
      <c r="A14" s="2" t="s">
        <v>82</v>
      </c>
    </row>
    <row r="15" spans="1:7" x14ac:dyDescent="0.3">
      <c r="A15" t="s">
        <v>83</v>
      </c>
    </row>
    <row r="17" spans="1:1" x14ac:dyDescent="0.3">
      <c r="A17" s="2" t="s">
        <v>84</v>
      </c>
    </row>
    <row r="18" spans="1:1" x14ac:dyDescent="0.3">
      <c r="A18" t="s">
        <v>85</v>
      </c>
    </row>
    <row r="19" spans="1:1" x14ac:dyDescent="0.3">
      <c r="A19" t="s">
        <v>86</v>
      </c>
    </row>
    <row r="20" spans="1:1" x14ac:dyDescent="0.3">
      <c r="A20" t="s">
        <v>87</v>
      </c>
    </row>
  </sheetData>
  <conditionalFormatting sqref="D5:D6">
    <cfRule type="expression" dxfId="4" priority="1">
      <formula>SEARCH("Critical",D5)</formula>
    </cfRule>
    <cfRule type="expression" dxfId="3" priority="2">
      <formula>SEARCH("High —",D5)</formula>
    </cfRule>
    <cfRule type="expression" dxfId="2" priority="3">
      <formula>SEARCH("Moderate",D5)</formula>
    </cfRule>
    <cfRule type="expression" dxfId="1" priority="4">
      <formula>SEARCH("Low —",D5)</formula>
    </cfRule>
    <cfRule type="expression" dxfId="0" priority="5">
      <formula>SEARCH("Uncertain",D5)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"/>
  <sheetViews>
    <sheetView workbookViewId="0">
      <selection activeCell="G9" sqref="G9"/>
    </sheetView>
  </sheetViews>
  <sheetFormatPr defaultRowHeight="14.4" x14ac:dyDescent="0.3"/>
  <cols>
    <col min="1" max="1" width="8.77734375" bestFit="1" customWidth="1"/>
    <col min="2" max="2" width="13.5546875" bestFit="1" customWidth="1"/>
    <col min="3" max="3" width="19.88671875" bestFit="1" customWidth="1"/>
    <col min="4" max="4" width="22.33203125" bestFit="1" customWidth="1"/>
    <col min="5" max="5" width="10" bestFit="1" customWidth="1"/>
    <col min="6" max="6" width="13.44140625" bestFit="1" customWidth="1"/>
    <col min="7" max="7" width="25.109375" bestFit="1" customWidth="1"/>
    <col min="8" max="8" width="10.6640625" bestFit="1" customWidth="1"/>
    <col min="9" max="9" width="18.44140625" bestFit="1" customWidth="1"/>
  </cols>
  <sheetData>
    <row r="1" spans="1:10" x14ac:dyDescent="0.3">
      <c r="A1" s="4" t="s">
        <v>6</v>
      </c>
      <c r="B1" s="4" t="s">
        <v>62</v>
      </c>
      <c r="C1" s="4" t="s">
        <v>88</v>
      </c>
      <c r="D1" s="4" t="s">
        <v>89</v>
      </c>
      <c r="E1" s="4" t="s">
        <v>90</v>
      </c>
      <c r="F1" s="4" t="s">
        <v>91</v>
      </c>
      <c r="G1" s="4" t="s">
        <v>92</v>
      </c>
      <c r="H1" s="4" t="s">
        <v>93</v>
      </c>
      <c r="I1" s="4" t="s">
        <v>94</v>
      </c>
      <c r="J1" s="4"/>
    </row>
    <row r="2" spans="1:10" x14ac:dyDescent="0.3">
      <c r="A2" t="s">
        <v>23</v>
      </c>
      <c r="B2">
        <v>0</v>
      </c>
      <c r="C2">
        <v>11</v>
      </c>
      <c r="D2">
        <v>0</v>
      </c>
      <c r="E2">
        <v>999</v>
      </c>
      <c r="F2" t="s">
        <v>95</v>
      </c>
      <c r="G2" t="s">
        <v>96</v>
      </c>
      <c r="H2" t="s">
        <v>95</v>
      </c>
      <c r="I2" t="s">
        <v>97</v>
      </c>
    </row>
    <row r="3" spans="1:10" x14ac:dyDescent="0.3">
      <c r="A3" t="s">
        <v>58</v>
      </c>
      <c r="B3">
        <v>0</v>
      </c>
      <c r="C3">
        <v>1</v>
      </c>
      <c r="D3">
        <v>0</v>
      </c>
      <c r="E3">
        <v>999</v>
      </c>
      <c r="F3" t="s">
        <v>95</v>
      </c>
      <c r="G3" t="s">
        <v>96</v>
      </c>
      <c r="H3" t="s">
        <v>95</v>
      </c>
      <c r="I3" t="s">
        <v>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Raw_Data</vt:lpstr>
      <vt:lpstr>Sprint_Summary</vt:lpstr>
      <vt:lpstr>Metrics_Calculation</vt:lpstr>
      <vt:lpstr>Dashboard_Base</vt:lpstr>
      <vt:lpstr>Risk_Model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Chiranjeevi P K</cp:lastModifiedBy>
  <dcterms:created xsi:type="dcterms:W3CDTF">2026-04-19T14:49:44Z</dcterms:created>
  <dcterms:modified xsi:type="dcterms:W3CDTF">2026-04-20T03:37:01Z</dcterms:modified>
</cp:coreProperties>
</file>