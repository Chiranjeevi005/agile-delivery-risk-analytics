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print_Summary" sheetId="2" state="visible" r:id="rId2"/>
    <sheet name="Metrics_Calculation" sheetId="3" state="visible" r:id="rId3"/>
    <sheet name="Dashboard_B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9C0006"/>
          <bgColor rgb="009C0006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_issues" displayName="tbl_issues" ref="A1:Q14" headerRowCount="1">
  <autoFilter ref="A1:Q14"/>
  <tableColumns count="17">
    <tableColumn id="1" name="Issue_ID"/>
    <tableColumn id="2" name="Created_Date"/>
    <tableColumn id="3" name="Resolved_Date"/>
    <tableColumn id="4" name="Assignee"/>
    <tableColumn id="5" name="Milestone"/>
    <tableColumn id="6" name="Source"/>
    <tableColumn id="7" name="Sprint_ID"/>
    <tableColumn id="8" name="Sprint_Start_Date"/>
    <tableColumn id="9" name="Sprint_End_Date"/>
    <tableColumn id="10" name="Completion_Time"/>
    <tableColumn id="11" name="Standardized_Status"/>
    <tableColumn id="12" name="Issue_Type"/>
    <tableColumn id="13" name="Completion_Flag"/>
    <tableColumn id="14" name="Data_Quality_Flag"/>
    <tableColumn id="15" name="Planned_Flag"/>
    <tableColumn id="16" name="Completed_In_Sprint_Flag"/>
    <tableColumn id="17" name="Carry_Forward_Flag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Issue_ID</t>
        </is>
      </c>
      <c r="B1" t="inlineStr">
        <is>
          <t>Created_Date</t>
        </is>
      </c>
      <c r="C1" t="inlineStr">
        <is>
          <t>Resolved_Date</t>
        </is>
      </c>
      <c r="D1" t="inlineStr">
        <is>
          <t>Assignee</t>
        </is>
      </c>
      <c r="E1" t="inlineStr">
        <is>
          <t>Milestone</t>
        </is>
      </c>
      <c r="F1" t="inlineStr">
        <is>
          <t>Source</t>
        </is>
      </c>
      <c r="G1" t="inlineStr">
        <is>
          <t>Sprint_ID</t>
        </is>
      </c>
      <c r="H1" t="inlineStr">
        <is>
          <t>Sprint_Start_Date</t>
        </is>
      </c>
      <c r="I1" t="inlineStr">
        <is>
          <t>Sprint_End_Date</t>
        </is>
      </c>
      <c r="J1" t="inlineStr">
        <is>
          <t>Completion_Time</t>
        </is>
      </c>
      <c r="K1" t="inlineStr">
        <is>
          <t>Standardized_Status</t>
        </is>
      </c>
      <c r="L1" t="inlineStr">
        <is>
          <t>Issue_Type</t>
        </is>
      </c>
      <c r="M1" t="inlineStr">
        <is>
          <t>Completion_Flag</t>
        </is>
      </c>
      <c r="N1" t="inlineStr">
        <is>
          <t>Data_Quality_Flag</t>
        </is>
      </c>
      <c r="O1" t="inlineStr">
        <is>
          <t>Planned_Flag</t>
        </is>
      </c>
      <c r="P1" t="inlineStr">
        <is>
          <t>Completed_In_Sprint_Flag</t>
        </is>
      </c>
      <c r="Q1" t="inlineStr">
        <is>
          <t>Carry_Forward_Flag</t>
        </is>
      </c>
    </row>
    <row r="2">
      <c r="A2" t="inlineStr">
        <is>
          <t>36279</t>
        </is>
      </c>
      <c r="B2" t="inlineStr">
        <is>
          <t>01-01-2024</t>
        </is>
      </c>
      <c r="C2" t="inlineStr">
        <is>
          <t>01-01-2024</t>
        </is>
      </c>
      <c r="D2" t="inlineStr">
        <is>
          <t>Unassigned</t>
        </is>
      </c>
      <c r="E2" t="n">
        <v/>
      </c>
      <c r="F2" t="inlineStr">
        <is>
          <t>GitHub</t>
        </is>
      </c>
      <c r="G2" t="inlineStr">
        <is>
          <t>Sprint_01</t>
        </is>
      </c>
      <c r="H2" t="inlineStr">
        <is>
          <t>01-01-2024</t>
        </is>
      </c>
      <c r="I2" t="inlineStr">
        <is>
          <t>14-01-2024</t>
        </is>
      </c>
      <c r="J2" t="n">
        <v>0.07000000000000001</v>
      </c>
      <c r="K2" t="inlineStr">
        <is>
          <t>Done</t>
        </is>
      </c>
      <c r="L2" t="inlineStr">
        <is>
          <t>Bug</t>
        </is>
      </c>
      <c r="M2" t="n">
        <v>1</v>
      </c>
      <c r="N2" t="inlineStr">
        <is>
          <t>Valid</t>
        </is>
      </c>
      <c r="O2" t="n">
        <v>1</v>
      </c>
      <c r="P2" t="n">
        <v>1</v>
      </c>
      <c r="Q2" t="n">
        <v>0</v>
      </c>
    </row>
    <row r="3">
      <c r="A3" t="inlineStr">
        <is>
          <t>KAFKA-101</t>
        </is>
      </c>
      <c r="B3" t="inlineStr">
        <is>
          <t>01-01-2024</t>
        </is>
      </c>
      <c r="C3" t="inlineStr">
        <is>
          <t>05-01-2024</t>
        </is>
      </c>
      <c r="D3" t="inlineStr">
        <is>
          <t>jdoe</t>
        </is>
      </c>
      <c r="E3" t="inlineStr">
        <is>
          <t>3.6.0</t>
        </is>
      </c>
      <c r="F3" t="inlineStr">
        <is>
          <t>Apache</t>
        </is>
      </c>
      <c r="G3" t="inlineStr">
        <is>
          <t>Sprint_01</t>
        </is>
      </c>
      <c r="H3" t="inlineStr">
        <is>
          <t>01-01-2024</t>
        </is>
      </c>
      <c r="I3" t="inlineStr">
        <is>
          <t>14-01-2024</t>
        </is>
      </c>
      <c r="J3" t="n">
        <v>4.21</v>
      </c>
      <c r="K3" t="inlineStr">
        <is>
          <t>Done</t>
        </is>
      </c>
      <c r="L3" t="inlineStr">
        <is>
          <t>Bug</t>
        </is>
      </c>
      <c r="M3" t="n">
        <v>1</v>
      </c>
      <c r="N3" t="inlineStr">
        <is>
          <t>Valid</t>
        </is>
      </c>
      <c r="O3" t="n">
        <v>1</v>
      </c>
      <c r="P3" t="n">
        <v>1</v>
      </c>
      <c r="Q3" t="n">
        <v>0</v>
      </c>
    </row>
    <row r="4">
      <c r="A4" t="inlineStr">
        <is>
          <t>36281</t>
        </is>
      </c>
      <c r="B4" t="inlineStr">
        <is>
          <t>01-01-2024</t>
        </is>
      </c>
      <c r="C4" t="n">
        <v/>
      </c>
      <c r="D4" t="inlineStr">
        <is>
          <t>Unassigned</t>
        </is>
      </c>
      <c r="E4" t="n">
        <v/>
      </c>
      <c r="F4" t="inlineStr">
        <is>
          <t>GitHub</t>
        </is>
      </c>
      <c r="G4" t="inlineStr">
        <is>
          <t>Sprint_01</t>
        </is>
      </c>
      <c r="H4" t="inlineStr">
        <is>
          <t>01-01-2024</t>
        </is>
      </c>
      <c r="I4" t="inlineStr">
        <is>
          <t>14-01-2024</t>
        </is>
      </c>
      <c r="J4" t="n">
        <v/>
      </c>
      <c r="K4" t="inlineStr">
        <is>
          <t>To Do</t>
        </is>
      </c>
      <c r="L4" t="inlineStr">
        <is>
          <t>Bug</t>
        </is>
      </c>
      <c r="M4" t="n">
        <v>0</v>
      </c>
      <c r="N4" t="inlineStr">
        <is>
          <t>Valid</t>
        </is>
      </c>
      <c r="O4" t="n">
        <v>1</v>
      </c>
      <c r="P4" t="n">
        <v>0</v>
      </c>
      <c r="Q4" t="n">
        <v>0</v>
      </c>
    </row>
    <row r="5">
      <c r="A5" t="inlineStr">
        <is>
          <t>36283</t>
        </is>
      </c>
      <c r="B5" t="inlineStr">
        <is>
          <t>01-01-2024</t>
        </is>
      </c>
      <c r="C5" t="n">
        <v/>
      </c>
      <c r="D5" t="inlineStr">
        <is>
          <t>Unassigned</t>
        </is>
      </c>
      <c r="E5" t="n">
        <v/>
      </c>
      <c r="F5" t="inlineStr">
        <is>
          <t>GitHub</t>
        </is>
      </c>
      <c r="G5" t="inlineStr">
        <is>
          <t>Sprint_01</t>
        </is>
      </c>
      <c r="H5" t="inlineStr">
        <is>
          <t>01-01-2024</t>
        </is>
      </c>
      <c r="I5" t="inlineStr">
        <is>
          <t>14-01-2024</t>
        </is>
      </c>
      <c r="J5" t="n">
        <v/>
      </c>
      <c r="K5" t="inlineStr">
        <is>
          <t>To Do</t>
        </is>
      </c>
      <c r="L5" t="inlineStr">
        <is>
          <t>Other</t>
        </is>
      </c>
      <c r="M5" t="n">
        <v>0</v>
      </c>
      <c r="N5" t="inlineStr">
        <is>
          <t>Valid</t>
        </is>
      </c>
      <c r="O5" t="n">
        <v>1</v>
      </c>
      <c r="P5" t="n">
        <v>0</v>
      </c>
      <c r="Q5" t="n">
        <v>0</v>
      </c>
    </row>
    <row r="6">
      <c r="A6" t="inlineStr">
        <is>
          <t>36284</t>
        </is>
      </c>
      <c r="B6" t="inlineStr">
        <is>
          <t>02-01-2024</t>
        </is>
      </c>
      <c r="C6" t="n">
        <v/>
      </c>
      <c r="D6" t="inlineStr">
        <is>
          <t>Unassigned</t>
        </is>
      </c>
      <c r="E6" t="n">
        <v/>
      </c>
      <c r="F6" t="inlineStr">
        <is>
          <t>GitHub</t>
        </is>
      </c>
      <c r="G6" t="inlineStr">
        <is>
          <t>Sprint_01</t>
        </is>
      </c>
      <c r="H6" t="inlineStr">
        <is>
          <t>01-01-2024</t>
        </is>
      </c>
      <c r="I6" t="inlineStr">
        <is>
          <t>14-01-2024</t>
        </is>
      </c>
      <c r="J6" t="n">
        <v/>
      </c>
      <c r="K6" t="inlineStr">
        <is>
          <t>To Do</t>
        </is>
      </c>
      <c r="L6" t="inlineStr">
        <is>
          <t>Other</t>
        </is>
      </c>
      <c r="M6" t="n">
        <v>0</v>
      </c>
      <c r="N6" t="inlineStr">
        <is>
          <t>Valid</t>
        </is>
      </c>
      <c r="O6" t="n">
        <v>1</v>
      </c>
      <c r="P6" t="n">
        <v>0</v>
      </c>
      <c r="Q6" t="n">
        <v>0</v>
      </c>
    </row>
    <row r="7">
      <c r="A7" t="inlineStr">
        <is>
          <t>36288</t>
        </is>
      </c>
      <c r="B7" t="inlineStr">
        <is>
          <t>02-01-2024</t>
        </is>
      </c>
      <c r="C7" t="n">
        <v/>
      </c>
      <c r="D7" t="inlineStr">
        <is>
          <t>Unassigned</t>
        </is>
      </c>
      <c r="E7" t="n">
        <v/>
      </c>
      <c r="F7" t="inlineStr">
        <is>
          <t>GitHub</t>
        </is>
      </c>
      <c r="G7" t="inlineStr">
        <is>
          <t>Sprint_01</t>
        </is>
      </c>
      <c r="H7" t="inlineStr">
        <is>
          <t>01-01-2024</t>
        </is>
      </c>
      <c r="I7" t="inlineStr">
        <is>
          <t>14-01-2024</t>
        </is>
      </c>
      <c r="J7" t="n">
        <v/>
      </c>
      <c r="K7" t="inlineStr">
        <is>
          <t>To Do</t>
        </is>
      </c>
      <c r="L7" t="inlineStr">
        <is>
          <t>Other</t>
        </is>
      </c>
      <c r="M7" t="n">
        <v>0</v>
      </c>
      <c r="N7" t="inlineStr">
        <is>
          <t>Valid</t>
        </is>
      </c>
      <c r="O7" t="n">
        <v>1</v>
      </c>
      <c r="P7" t="n">
        <v>0</v>
      </c>
      <c r="Q7" t="n">
        <v>0</v>
      </c>
    </row>
    <row r="8">
      <c r="A8" t="inlineStr">
        <is>
          <t>KAFKA-102</t>
        </is>
      </c>
      <c r="B8" t="inlineStr">
        <is>
          <t>02-01-2024</t>
        </is>
      </c>
      <c r="C8" t="n">
        <v/>
      </c>
      <c r="D8" t="inlineStr">
        <is>
          <t>asmith</t>
        </is>
      </c>
      <c r="E8" t="inlineStr">
        <is>
          <t>3.7.0</t>
        </is>
      </c>
      <c r="F8" t="inlineStr">
        <is>
          <t>Apache</t>
        </is>
      </c>
      <c r="G8" t="inlineStr">
        <is>
          <t>Sprint_01</t>
        </is>
      </c>
      <c r="H8" t="inlineStr">
        <is>
          <t>01-01-2024</t>
        </is>
      </c>
      <c r="I8" t="inlineStr">
        <is>
          <t>14-01-2024</t>
        </is>
      </c>
      <c r="J8" t="n">
        <v/>
      </c>
      <c r="K8" t="inlineStr">
        <is>
          <t>To Do</t>
        </is>
      </c>
      <c r="L8" t="inlineStr">
        <is>
          <t>Feature</t>
        </is>
      </c>
      <c r="M8" t="n">
        <v>0</v>
      </c>
      <c r="N8" t="inlineStr">
        <is>
          <t>Valid</t>
        </is>
      </c>
      <c r="O8" t="n">
        <v>1</v>
      </c>
      <c r="P8" t="n">
        <v>0</v>
      </c>
      <c r="Q8" t="n">
        <v>0</v>
      </c>
    </row>
    <row r="9">
      <c r="A9" t="inlineStr">
        <is>
          <t>36298</t>
        </is>
      </c>
      <c r="B9" t="inlineStr">
        <is>
          <t>02-01-2024</t>
        </is>
      </c>
      <c r="C9" t="n">
        <v/>
      </c>
      <c r="D9" t="inlineStr">
        <is>
          <t>Unassigned</t>
        </is>
      </c>
      <c r="E9" t="n">
        <v/>
      </c>
      <c r="F9" t="inlineStr">
        <is>
          <t>GitHub</t>
        </is>
      </c>
      <c r="G9" t="inlineStr">
        <is>
          <t>Sprint_01</t>
        </is>
      </c>
      <c r="H9" t="inlineStr">
        <is>
          <t>01-01-2024</t>
        </is>
      </c>
      <c r="I9" t="inlineStr">
        <is>
          <t>14-01-2024</t>
        </is>
      </c>
      <c r="J9" t="n">
        <v/>
      </c>
      <c r="K9" t="inlineStr">
        <is>
          <t>To Do</t>
        </is>
      </c>
      <c r="L9" t="inlineStr">
        <is>
          <t>Other</t>
        </is>
      </c>
      <c r="M9" t="n">
        <v>0</v>
      </c>
      <c r="N9" t="inlineStr">
        <is>
          <t>Valid</t>
        </is>
      </c>
      <c r="O9" t="n">
        <v>1</v>
      </c>
      <c r="P9" t="n">
        <v>0</v>
      </c>
      <c r="Q9" t="n">
        <v>0</v>
      </c>
    </row>
    <row r="10">
      <c r="A10" t="inlineStr">
        <is>
          <t>36302</t>
        </is>
      </c>
      <c r="B10" t="inlineStr">
        <is>
          <t>02-01-2024</t>
        </is>
      </c>
      <c r="C10" t="inlineStr">
        <is>
          <t>03-01-2024</t>
        </is>
      </c>
      <c r="D10" t="inlineStr">
        <is>
          <t>Unassigned</t>
        </is>
      </c>
      <c r="E10" t="n">
        <v/>
      </c>
      <c r="F10" t="inlineStr">
        <is>
          <t>GitHub</t>
        </is>
      </c>
      <c r="G10" t="inlineStr">
        <is>
          <t>Sprint_01</t>
        </is>
      </c>
      <c r="H10" t="inlineStr">
        <is>
          <t>01-01-2024</t>
        </is>
      </c>
      <c r="I10" t="inlineStr">
        <is>
          <t>14-01-2024</t>
        </is>
      </c>
      <c r="J10" t="n">
        <v>0.41</v>
      </c>
      <c r="K10" t="inlineStr">
        <is>
          <t>Done</t>
        </is>
      </c>
      <c r="L10" t="inlineStr">
        <is>
          <t>Other</t>
        </is>
      </c>
      <c r="M10" t="n">
        <v>1</v>
      </c>
      <c r="N10" t="inlineStr">
        <is>
          <t>Valid</t>
        </is>
      </c>
      <c r="O10" t="n">
        <v>1</v>
      </c>
      <c r="P10" t="n">
        <v>1</v>
      </c>
      <c r="Q10" t="n">
        <v>0</v>
      </c>
    </row>
    <row r="11">
      <c r="A11" t="inlineStr">
        <is>
          <t>KAFKA-103</t>
        </is>
      </c>
      <c r="B11" t="inlineStr">
        <is>
          <t>03-01-2024</t>
        </is>
      </c>
      <c r="C11" t="inlineStr">
        <is>
          <t>15-01-2024</t>
        </is>
      </c>
      <c r="D11" t="inlineStr">
        <is>
          <t>jdoe</t>
        </is>
      </c>
      <c r="E11" t="inlineStr">
        <is>
          <t>3.6.0</t>
        </is>
      </c>
      <c r="F11" t="inlineStr">
        <is>
          <t>Apache</t>
        </is>
      </c>
      <c r="G11" t="inlineStr">
        <is>
          <t>Sprint_01</t>
        </is>
      </c>
      <c r="H11" t="inlineStr">
        <is>
          <t>01-01-2024</t>
        </is>
      </c>
      <c r="I11" t="inlineStr">
        <is>
          <t>14-01-2024</t>
        </is>
      </c>
      <c r="J11" t="n">
        <v>12.12</v>
      </c>
      <c r="K11" t="inlineStr">
        <is>
          <t>Done</t>
        </is>
      </c>
      <c r="L11" t="inlineStr">
        <is>
          <t>Tech Debt</t>
        </is>
      </c>
      <c r="M11" t="n">
        <v>1</v>
      </c>
      <c r="N11" t="inlineStr">
        <is>
          <t>Valid</t>
        </is>
      </c>
      <c r="O11" t="n">
        <v>1</v>
      </c>
      <c r="P11" t="n">
        <v>0</v>
      </c>
      <c r="Q11" t="n">
        <v>1</v>
      </c>
    </row>
    <row r="12">
      <c r="A12" t="inlineStr">
        <is>
          <t>36315</t>
        </is>
      </c>
      <c r="B12" t="inlineStr">
        <is>
          <t>04-01-2024</t>
        </is>
      </c>
      <c r="C12" t="n">
        <v/>
      </c>
      <c r="D12" t="inlineStr">
        <is>
          <t>Unassigned</t>
        </is>
      </c>
      <c r="E12" t="n">
        <v/>
      </c>
      <c r="F12" t="inlineStr">
        <is>
          <t>GitHub</t>
        </is>
      </c>
      <c r="G12" t="inlineStr">
        <is>
          <t>Sprint_01</t>
        </is>
      </c>
      <c r="H12" t="inlineStr">
        <is>
          <t>01-01-2024</t>
        </is>
      </c>
      <c r="I12" t="inlineStr">
        <is>
          <t>14-01-2024</t>
        </is>
      </c>
      <c r="J12" t="n">
        <v/>
      </c>
      <c r="K12" t="inlineStr">
        <is>
          <t>To Do</t>
        </is>
      </c>
      <c r="L12" t="inlineStr">
        <is>
          <t>Bug</t>
        </is>
      </c>
      <c r="M12" t="n">
        <v>0</v>
      </c>
      <c r="N12" t="inlineStr">
        <is>
          <t>Valid</t>
        </is>
      </c>
      <c r="O12" t="n">
        <v>1</v>
      </c>
      <c r="P12" t="n">
        <v>0</v>
      </c>
      <c r="Q12" t="n">
        <v>0</v>
      </c>
    </row>
    <row r="13">
      <c r="A13" t="inlineStr">
        <is>
          <t>KAFKA-104</t>
        </is>
      </c>
      <c r="B13" t="inlineStr">
        <is>
          <t>10-01-2024</t>
        </is>
      </c>
      <c r="C13" t="inlineStr">
        <is>
          <t>12-01-2024</t>
        </is>
      </c>
      <c r="D13" t="inlineStr">
        <is>
          <t>asmith</t>
        </is>
      </c>
      <c r="E13" t="inlineStr">
        <is>
          <t>3.6.0</t>
        </is>
      </c>
      <c r="F13" t="inlineStr">
        <is>
          <t>Apache</t>
        </is>
      </c>
      <c r="G13" t="inlineStr">
        <is>
          <t>Sprint_01</t>
        </is>
      </c>
      <c r="H13" t="inlineStr">
        <is>
          <t>01-01-2024</t>
        </is>
      </c>
      <c r="I13" t="inlineStr">
        <is>
          <t>14-01-2024</t>
        </is>
      </c>
      <c r="J13" t="n">
        <v>2.08</v>
      </c>
      <c r="K13" t="inlineStr">
        <is>
          <t>In Progress</t>
        </is>
      </c>
      <c r="L13" t="inlineStr">
        <is>
          <t>Bug</t>
        </is>
      </c>
      <c r="M13" t="n">
        <v>0</v>
      </c>
      <c r="N13" t="inlineStr">
        <is>
          <t>Valid</t>
        </is>
      </c>
      <c r="O13" t="n">
        <v>1</v>
      </c>
      <c r="P13" t="n">
        <v>0</v>
      </c>
      <c r="Q13" t="n">
        <v>0</v>
      </c>
    </row>
    <row r="14">
      <c r="A14" t="inlineStr">
        <is>
          <t>KAFKA-105</t>
        </is>
      </c>
      <c r="B14" t="inlineStr">
        <is>
          <t>15-01-2024</t>
        </is>
      </c>
      <c r="C14" t="n">
        <v/>
      </c>
      <c r="D14" t="inlineStr">
        <is>
          <t>rjones</t>
        </is>
      </c>
      <c r="E14" t="inlineStr">
        <is>
          <t>3.7.0</t>
        </is>
      </c>
      <c r="F14" t="inlineStr">
        <is>
          <t>Apache</t>
        </is>
      </c>
      <c r="G14" t="inlineStr">
        <is>
          <t>Sprint_02</t>
        </is>
      </c>
      <c r="H14" t="inlineStr">
        <is>
          <t>15-01-2024</t>
        </is>
      </c>
      <c r="I14" t="inlineStr">
        <is>
          <t>28-01-2024</t>
        </is>
      </c>
      <c r="J14" t="n">
        <v/>
      </c>
      <c r="K14" t="inlineStr">
        <is>
          <t>To Do</t>
        </is>
      </c>
      <c r="L14" t="inlineStr">
        <is>
          <t>Other</t>
        </is>
      </c>
      <c r="M14" t="n">
        <v>0</v>
      </c>
      <c r="N14" t="inlineStr">
        <is>
          <t>Valid</t>
        </is>
      </c>
      <c r="O14" t="n">
        <v>1</v>
      </c>
      <c r="P14" t="n">
        <v>0</v>
      </c>
      <c r="Q1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Sprint_ID</t>
        </is>
      </c>
      <c r="B1" t="inlineStr">
        <is>
          <t>Total_Issues</t>
        </is>
      </c>
      <c r="C1" t="inlineStr">
        <is>
          <t>Planned_Work</t>
        </is>
      </c>
      <c r="D1" t="inlineStr">
        <is>
          <t>Completed_Work</t>
        </is>
      </c>
      <c r="E1" t="inlineStr">
        <is>
          <t>Completed_In_Sprint</t>
        </is>
      </c>
      <c r="F1" t="inlineStr">
        <is>
          <t>Spillover</t>
        </is>
      </c>
      <c r="G1" t="inlineStr">
        <is>
          <t>Validation_Check</t>
        </is>
      </c>
    </row>
    <row r="2">
      <c r="A2" t="inlineStr">
        <is>
          <t>Sprint_01</t>
        </is>
      </c>
      <c r="B2">
        <f>COUNTIF(tbl_issues[Sprint_ID], A2)</f>
        <v/>
      </c>
      <c r="C2">
        <f>SUMIFS(tbl_issues[Planned_Flag], tbl_issues[Sprint_ID], A2)</f>
        <v/>
      </c>
      <c r="D2">
        <f>SUMIFS(tbl_issues[Completion_Flag], tbl_issues[Sprint_ID], A2)</f>
        <v/>
      </c>
      <c r="E2">
        <f>SUMIFS(tbl_issues[Completed_In_Sprint_Flag], tbl_issues[Sprint_ID], A2)</f>
        <v/>
      </c>
      <c r="F2">
        <f>SUMIFS(tbl_issues[Carry_Forward_Flag], tbl_issues[Sprint_ID], A2)</f>
        <v/>
      </c>
      <c r="G2">
        <f>IF(E2&lt;=C2, "OK", "Error")</f>
        <v/>
      </c>
    </row>
    <row r="3">
      <c r="A3" t="inlineStr">
        <is>
          <t>Sprint_02</t>
        </is>
      </c>
      <c r="B3">
        <f>COUNTIF(tbl_issues[Sprint_ID], A3)</f>
        <v/>
      </c>
      <c r="C3">
        <f>SUMIFS(tbl_issues[Planned_Flag], tbl_issues[Sprint_ID], A3)</f>
        <v/>
      </c>
      <c r="D3">
        <f>SUMIFS(tbl_issues[Completion_Flag], tbl_issues[Sprint_ID], A3)</f>
        <v/>
      </c>
      <c r="E3">
        <f>SUMIFS(tbl_issues[Completed_In_Sprint_Flag], tbl_issues[Sprint_ID], A3)</f>
        <v/>
      </c>
      <c r="F3">
        <f>SUMIFS(tbl_issues[Carry_Forward_Flag], tbl_issues[Sprint_ID], A3)</f>
        <v/>
      </c>
      <c r="G3">
        <f>IF(E3&lt;=C3, "OK", "Error")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Sprint_ID</t>
        </is>
      </c>
      <c r="B1" t="inlineStr">
        <is>
          <t>Commitment_Reliability</t>
        </is>
      </c>
      <c r="C1" t="inlineStr">
        <is>
          <t>Spillover_Rate</t>
        </is>
      </c>
      <c r="D1" t="inlineStr">
        <is>
          <t>Risk_Severity</t>
        </is>
      </c>
      <c r="E1" t="inlineStr">
        <is>
          <t>Data_Strength_Flag</t>
        </is>
      </c>
      <c r="F1" t="inlineStr">
        <is>
          <t>Adjusted_Risk_Label</t>
        </is>
      </c>
    </row>
    <row r="2">
      <c r="A2" t="inlineStr">
        <is>
          <t>Sprint_01</t>
        </is>
      </c>
      <c r="B2">
        <f>ROUND(IF(Sprint_Summary!C2=0, 0, Sprint_Summary!E2/Sprint_Summary!C2), 2)</f>
        <v/>
      </c>
      <c r="C2">
        <f>ROUND(IF(Sprint_Summary!B2=0, 0, Sprint_Summary!F2/Sprint_Summary!B2), 2)</f>
        <v/>
      </c>
      <c r="D2">
        <f>IF(B2&lt;0.4, "Critical", IF(B2&lt;0.6, "High", IF(B2&lt;0.8, "Moderate", "Low")))</f>
        <v/>
      </c>
      <c r="E2">
        <f>IF(Sprint_Summary!C2&lt;5, "Low Confidence", "Reliable")</f>
        <v/>
      </c>
      <c r="F2">
        <f>IF(E2="Low Confidence", "Uncertain (Low Confidence)", D2 &amp; " (High Confidence)")</f>
        <v/>
      </c>
    </row>
    <row r="3">
      <c r="A3" t="inlineStr">
        <is>
          <t>Sprint_02</t>
        </is>
      </c>
      <c r="B3">
        <f>ROUND(IF(Sprint_Summary!C3=0, 0, Sprint_Summary!E3/Sprint_Summary!C3), 2)</f>
        <v/>
      </c>
      <c r="C3">
        <f>ROUND(IF(Sprint_Summary!B3=0, 0, Sprint_Summary!F3/Sprint_Summary!B3), 2)</f>
        <v/>
      </c>
      <c r="D3">
        <f>IF(B3&lt;0.4, "Critical", IF(B3&lt;0.6, "High", IF(B3&lt;0.8, "Moderate", "Low")))</f>
        <v/>
      </c>
      <c r="E3">
        <f>IF(Sprint_Summary!C3&lt;5, "Low Confidence", "Reliable")</f>
        <v/>
      </c>
      <c r="F3">
        <f>IF(E3="Low Confidence", "Uncertain (Low Confidence)", D3 &amp; " (High Confidence)")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ELITE ANALYTICS: DELIVERY RISK FRAMEWORK</t>
        </is>
      </c>
    </row>
    <row r="3">
      <c r="A3" s="2" t="inlineStr">
        <is>
          <t>Sprint Performance Table</t>
        </is>
      </c>
      <c r="F3" s="2" t="inlineStr">
        <is>
          <t>Executive Summary</t>
        </is>
      </c>
    </row>
    <row r="5">
      <c r="A5" t="inlineStr">
        <is>
          <t>Sprint_01</t>
        </is>
      </c>
      <c r="B5">
        <f>ROUND(Metrics_Calculation!B2, 2)</f>
        <v/>
      </c>
      <c r="C5">
        <f>ROUND(Metrics_Calculation!C2, 2)</f>
        <v/>
      </c>
      <c r="D5">
        <f>Metrics_Calculation!F2</f>
        <v/>
      </c>
      <c r="F5" t="inlineStr">
        <is>
          <t>Weighted Avg Commitment</t>
        </is>
      </c>
      <c r="G5">
        <f>ROUND(SUMIFS(Sprint_Summary!E2:E3, Metrics_Calculation!E2:E3, "Reliable") / MAX(1, SUMIFS(Sprint_Summary!C2:C3, Metrics_Calculation!E2:E3, "Reliable")), 2)</f>
        <v/>
      </c>
    </row>
    <row r="6">
      <c r="A6" t="inlineStr">
        <is>
          <t>Sprint_02</t>
        </is>
      </c>
      <c r="B6">
        <f>ROUND(Metrics_Calculation!B3, 2)</f>
        <v/>
      </c>
      <c r="C6">
        <f>ROUND(Metrics_Calculation!C3, 2)</f>
        <v/>
      </c>
      <c r="D6">
        <f>Metrics_Calculation!F3</f>
        <v/>
      </c>
      <c r="F6" t="inlineStr">
        <is>
          <t>Weighted Avg Spillover</t>
        </is>
      </c>
      <c r="G6">
        <f>ROUND(SUMIFS(Sprint_Summary!F2:F3, Metrics_Calculation!E2:E3, "Reliable") / MAX(1, SUMIFS(Sprint_Summary!B2:B3, Metrics_Calculation!E2:E3, "Reliable")), 2)</f>
        <v/>
      </c>
    </row>
    <row r="7">
      <c r="F7" t="inlineStr">
        <is>
          <t>High Risk Sprint Count</t>
        </is>
      </c>
      <c r="G7">
        <f>COUNTIFS(Metrics_Calculation!E2:E3, "Reliable", Metrics_Calculation!D2:D3, "Critical")</f>
        <v/>
      </c>
    </row>
    <row r="8">
      <c r="F8" t="inlineStr">
        <is>
          <t>Worst Reliable Sprint</t>
        </is>
      </c>
      <c r="G8">
        <f>INDEX(Metrics_Calculation!A2:A3, MATCH(1, (Metrics_Calculation!B2:B3=MINIFS(Metrics_Calculation!B2:B3, Metrics_Calculation!E2:E3, "Reliable")) * (Metrics_Calculation!E2:E3="Reliable"), 0))</f>
        <v/>
      </c>
    </row>
    <row r="9">
      <c r="F9" t="inlineStr">
        <is>
          <t>Trend (Reliable Data Only)</t>
        </is>
      </c>
      <c r="G9">
        <f>IF(COUNTIF(Metrics_Calculation!E2:E3, "Reliable")&lt;3, "Insufficient Data", "Requires Analysis")</f>
        <v/>
      </c>
    </row>
    <row r="10">
      <c r="F10" t="inlineStr">
        <is>
          <t>Error Count</t>
        </is>
      </c>
      <c r="G10">
        <f>COUNTIF(Sprint_Summary!G2:G3, "Error")</f>
        <v/>
      </c>
    </row>
    <row r="13">
      <c r="A13" s="2" t="inlineStr">
        <is>
          <t>Key Insight:</t>
        </is>
      </c>
    </row>
    <row r="14">
      <c r="A14" t="inlineStr">
        <is>
          <t>Reliable sprint data indicates critically low delivery predictability, suggesting systemic overcommitment and poor execution discipline.</t>
        </is>
      </c>
    </row>
    <row r="16">
      <c r="A16" s="2" t="inlineStr">
        <is>
          <t>Recommended Actions:</t>
        </is>
      </c>
    </row>
    <row r="17">
      <c r="A17" t="inlineStr">
        <is>
          <t>* Reduce sprint scope by 20–30%</t>
        </is>
      </c>
    </row>
    <row r="18">
      <c r="A18" t="inlineStr">
        <is>
          <t>* Limit concurrent work (WIP)</t>
        </is>
      </c>
    </row>
    <row r="19">
      <c r="A19" t="inlineStr">
        <is>
          <t>* Introduce mid-sprint progress tracking</t>
        </is>
      </c>
    </row>
  </sheetData>
  <conditionalFormatting sqref="D5:D6">
    <cfRule type="expression" priority="1" dxfId="0">
      <formula>SEARCH("Critical",D5)</formula>
    </cfRule>
    <cfRule type="expression" priority="2" dxfId="1">
      <formula>SEARCH("High",D5)</formula>
    </cfRule>
    <cfRule type="expression" priority="3" dxfId="2">
      <formula>SEARCH("Moderate",D5)</formula>
    </cfRule>
    <cfRule type="expression" priority="4" dxfId="3">
      <formula>SEARCH("Low (",D5)</formula>
    </cfRule>
    <cfRule type="expression" priority="5" dxfId="4">
      <formula>SEARCH("Uncertain",D5)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2026-04-19T14:42:09Z</dcterms:created>
  <dcterms:modified xsi:type="dcterms:W3CDTF">2026-04-19T14:42:09Z</dcterms:modified>
</cp:coreProperties>
</file>